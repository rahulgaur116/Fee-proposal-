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UP" sheetId="1" state="visible" r:id="rId3"/>
    <sheet name="CLIENT VIEW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<sst xmlns="http://schemas.openxmlformats.org/spreadsheetml/2006/main" count="50" uniqueCount="39">
  <si>
    <t xml:space="preserve">RATE</t>
  </si>
  <si>
    <t xml:space="preserve">HOURS</t>
  </si>
  <si>
    <t xml:space="preserve">REIMBURSABLES</t>
  </si>
  <si>
    <t xml:space="preserve">FEE</t>
  </si>
  <si>
    <t xml:space="preserve">SUMMARY CODE</t>
  </si>
  <si>
    <t xml:space="preserve">Comments &amp; Notes</t>
  </si>
  <si>
    <t xml:space="preserve">Task</t>
  </si>
  <si>
    <t xml:space="preserve">VP</t>
  </si>
  <si>
    <t xml:space="preserve">SDR</t>
  </si>
  <si>
    <t xml:space="preserve">DR</t>
  </si>
  <si>
    <t xml:space="preserve">AD</t>
  </si>
  <si>
    <t xml:space="preserve">SC</t>
  </si>
  <si>
    <t xml:space="preserve">CM</t>
  </si>
  <si>
    <t xml:space="preserve">ACM</t>
  </si>
  <si>
    <t xml:space="preserve">LUMP SUM</t>
  </si>
  <si>
    <t xml:space="preserve">TOTAL</t>
  </si>
  <si>
    <t xml:space="preserve">CD-Level Cost Estimate — Connector Walkway &amp; Chimney Repairs  [A]</t>
  </si>
  <si>
    <t xml:space="preserve">Kickoff; review 6-sheet CD Review set; clarification/RFI list to architect</t>
  </si>
  <si>
    <t xml:space="preserve">A</t>
  </si>
  <si>
    <t xml:space="preserve">Masonry takeoff: repointing (bridges, arches, caps, chimneys), brick replacement, stone cap replace/repoint, spall &amp; crack repair, cleaning, sealants, plaques</t>
  </si>
  <si>
    <t xml:space="preserve">Roofing takeoff &amp; pricing: membrane roof replacement at both bridges with flashing and tapered pitch to scuppers; metal roof clean/sealant; rain leaders</t>
  </si>
  <si>
    <t xml:space="preserve">Pricing: masonry restoration unit rates at CT prevailing wage, concrete/handrail/painting items, scaffolding &amp; access, general conditions, GC markups</t>
  </si>
  <si>
    <t xml:space="preserve">Estimate assembly: basis-of-estimate narrative, unforeseen-conditions allowance, contingency, escalation; recommended items as identified lines</t>
  </si>
  <si>
    <t xml:space="preserve">Director QA review of draft estimate</t>
  </si>
  <si>
    <t xml:space="preserve">Review call with architect; incorporate comments; final issue</t>
  </si>
  <si>
    <t xml:space="preserve">Subtotal</t>
  </si>
  <si>
    <t xml:space="preserve">Optional Site Visit — Storrs, CT  [B]</t>
  </si>
  <si>
    <t xml:space="preserve">Site visit to Storrs, CT: field verification of repair extents and access conditions, incl. travel</t>
  </si>
  <si>
    <t xml:space="preserve">B</t>
  </si>
  <si>
    <t xml:space="preserve">GRAND TOTAL</t>
  </si>
  <si>
    <t xml:space="preserve">ESTIMATING SCOPE OF SERVICES</t>
  </si>
  <si>
    <t xml:space="preserve">Project</t>
  </si>
  <si>
    <t xml:space="preserve">Lump Sum Fee</t>
  </si>
  <si>
    <t xml:space="preserve">Deliverable</t>
  </si>
  <si>
    <t xml:space="preserve">UCONN Holcomb &amp; Whitney Residence Halls — Connector Walkway Repairs</t>
  </si>
  <si>
    <t xml:space="preserve">CD-Level Cost Estimate — Connector Walkway &amp; Chimney Repairs</t>
  </si>
  <si>
    <t xml:space="preserve">Optional Site Visit — Storrs, CT</t>
  </si>
  <si>
    <t xml:space="preserve">TOTAL LUMP SUM FEE</t>
  </si>
  <si>
    <t xml:space="preserve">Locked fee model 77b64f13667b: total $9,050. If the buildup is edited, re-run `feeprop price` so the proposal and this workbook stay on one number.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</si>
</sst>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\$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70"/>
    <col collapsed="false" customWidth="true" hidden="false" outlineLevel="0" max="10" min="4" style="0" width="7"/>
    <col collapsed="false" customWidth="true" hidden="false" outlineLevel="0" max="12" min="12" style="0" width="15"/>
    <col collapsed="false" customWidth="true" hidden="false" outlineLevel="0" max="14" min="14" style="0" width="12"/>
    <col collapsed="false" customWidth="true" hidden="false" outlineLevel="0" max="15" min="15" style="0" width="15"/>
  </cols>
  <sheetData>
    <row r="1" customFormat="false" ht="15" hidden="false" customHeight="false" outlineLevel="0" collapsed="false">
      <c r="C1" s="1" t="s">
        <v>0</v>
      </c>
      <c r="D1" s="2" t="n">
        <v>350</v>
      </c>
      <c r="E1" s="2" t="n">
        <v>300</v>
      </c>
      <c r="F1" s="2" t="n">
        <v>250</v>
      </c>
      <c r="G1" s="2" t="n">
        <v>225</v>
      </c>
      <c r="H1" s="2" t="n">
        <v>190</v>
      </c>
      <c r="I1" s="2" t="n">
        <v>160</v>
      </c>
      <c r="J1" s="2" t="n">
        <v>110</v>
      </c>
    </row>
    <row r="2" customFormat="false" ht="15" hidden="false" customHeight="false" outlineLevel="0" collapsed="false">
      <c r="D2" s="1" t="s">
        <v>1</v>
      </c>
      <c r="L2" s="1" t="s">
        <v>2</v>
      </c>
      <c r="N2" s="1" t="s">
        <v>3</v>
      </c>
      <c r="O2" s="1" t="s">
        <v>4</v>
      </c>
    </row>
    <row r="3" customFormat="false" ht="15" hidden="false" customHeight="false" outlineLevel="0" collapsed="false"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L3" s="1" t="s">
        <v>14</v>
      </c>
      <c r="N3" s="1" t="s">
        <v>15</v>
      </c>
    </row>
    <row r="4" customFormat="false" ht="15" hidden="false" customHeight="false" outlineLevel="0" collapsed="false">
      <c r="C4" s="1" t="s">
        <v>16</v>
      </c>
    </row>
    <row r="5" customFormat="false" ht="15" hidden="false" customHeight="false" outlineLevel="0" collapsed="false">
      <c r="C5" s="3" t="s">
        <v>17</v>
      </c>
      <c r="H5" s="0" t="n">
        <v>2</v>
      </c>
      <c r="I5" s="0" t="n">
        <v>2</v>
      </c>
      <c r="N5" s="4" t="n">
        <f aca="false">SUMPRODUCT(D$1:J$1,D5:J5)</f>
        <v>700</v>
      </c>
      <c r="O5" s="5" t="s">
        <v>18</v>
      </c>
    </row>
    <row r="6" customFormat="false" ht="39.55" hidden="false" customHeight="false" outlineLevel="0" collapsed="false">
      <c r="C6" s="3" t="s">
        <v>19</v>
      </c>
      <c r="H6" s="0" t="n">
        <v>2</v>
      </c>
      <c r="I6" s="0" t="n">
        <v>10</v>
      </c>
      <c r="N6" s="4" t="n">
        <f aca="false">SUMPRODUCT(D$1:J$1,D6:J6)</f>
        <v>1980</v>
      </c>
      <c r="O6" s="5" t="s">
        <v>18</v>
      </c>
    </row>
    <row r="7" customFormat="false" ht="39.55" hidden="false" customHeight="false" outlineLevel="0" collapsed="false">
      <c r="C7" s="3" t="s">
        <v>20</v>
      </c>
      <c r="H7" s="0" t="n">
        <v>3</v>
      </c>
      <c r="I7" s="0" t="n">
        <v>3</v>
      </c>
      <c r="N7" s="4" t="n">
        <f aca="false">SUMPRODUCT(D$1:J$1,D7:J7)</f>
        <v>1050</v>
      </c>
      <c r="O7" s="5" t="s">
        <v>18</v>
      </c>
    </row>
    <row r="8" customFormat="false" ht="39.55" hidden="false" customHeight="false" outlineLevel="0" collapsed="false">
      <c r="C8" s="3" t="s">
        <v>21</v>
      </c>
      <c r="H8" s="0" t="n">
        <v>6</v>
      </c>
      <c r="I8" s="0" t="n">
        <v>3</v>
      </c>
      <c r="N8" s="4" t="n">
        <f aca="false">SUMPRODUCT(D$1:J$1,D8:J8)</f>
        <v>1620</v>
      </c>
      <c r="O8" s="5" t="s">
        <v>18</v>
      </c>
    </row>
    <row r="9" customFormat="false" ht="26.85" hidden="false" customHeight="false" outlineLevel="0" collapsed="false">
      <c r="C9" s="3" t="s">
        <v>22</v>
      </c>
      <c r="H9" s="0" t="n">
        <v>3</v>
      </c>
      <c r="I9" s="0" t="n">
        <v>2</v>
      </c>
      <c r="N9" s="4" t="n">
        <f aca="false">SUMPRODUCT(D$1:J$1,D9:J9)</f>
        <v>890</v>
      </c>
      <c r="O9" s="5" t="s">
        <v>18</v>
      </c>
    </row>
    <row r="10" customFormat="false" ht="15" hidden="false" customHeight="false" outlineLevel="0" collapsed="false">
      <c r="C10" s="3" t="s">
        <v>23</v>
      </c>
      <c r="F10" s="0" t="n">
        <v>2</v>
      </c>
      <c r="N10" s="4" t="n">
        <f aca="false">SUMPRODUCT(D$1:J$1,D10:J10)</f>
        <v>500</v>
      </c>
      <c r="O10" s="5" t="s">
        <v>18</v>
      </c>
    </row>
    <row r="11" customFormat="false" ht="15" hidden="false" customHeight="false" outlineLevel="0" collapsed="false">
      <c r="C11" s="3" t="s">
        <v>24</v>
      </c>
      <c r="F11" s="0" t="n">
        <v>1</v>
      </c>
      <c r="H11" s="0" t="n">
        <v>2</v>
      </c>
      <c r="I11" s="0" t="n">
        <v>1</v>
      </c>
      <c r="N11" s="4" t="n">
        <f aca="false">SUMPRODUCT(D$1:J$1,D11:J11)</f>
        <v>790</v>
      </c>
      <c r="O11" s="5" t="s">
        <v>18</v>
      </c>
    </row>
    <row r="12" customFormat="false" ht="15" hidden="false" customHeight="false" outlineLevel="0" collapsed="false">
      <c r="C12" s="1" t="s">
        <v>25</v>
      </c>
      <c r="D12" s="1" t="n">
        <f aca="false">SUBTOTAL(9,D5:D11)</f>
        <v>0</v>
      </c>
      <c r="E12" s="1" t="n">
        <f aca="false">SUBTOTAL(9,E5:E11)</f>
        <v>0</v>
      </c>
      <c r="F12" s="1" t="n">
        <f aca="false">SUBTOTAL(9,F5:F11)</f>
        <v>3</v>
      </c>
      <c r="G12" s="1" t="n">
        <f aca="false">SUBTOTAL(9,G5:G11)</f>
        <v>0</v>
      </c>
      <c r="H12" s="1" t="n">
        <f aca="false">SUBTOTAL(9,H5:H11)</f>
        <v>18</v>
      </c>
      <c r="I12" s="1" t="n">
        <f aca="false">SUBTOTAL(9,I5:I11)</f>
        <v>21</v>
      </c>
      <c r="J12" s="1" t="n">
        <f aca="false">SUBTOTAL(9,J5:J11)</f>
        <v>0</v>
      </c>
      <c r="N12" s="6" t="n">
        <f aca="false">SUBTOTAL(9,N5:N11)</f>
        <v>7530</v>
      </c>
      <c r="P12" s="1" t="n">
        <f aca="false">SUM(D12:J12)</f>
        <v>42</v>
      </c>
      <c r="Q12" s="4" t="n">
        <f aca="false">IF(P12=0,"",N12/P12)</f>
        <v>179.285714285714</v>
      </c>
    </row>
    <row r="14" customFormat="false" ht="15" hidden="false" customHeight="false" outlineLevel="0" collapsed="false">
      <c r="C14" s="1" t="s">
        <v>26</v>
      </c>
    </row>
    <row r="15" customFormat="false" ht="26.85" hidden="false" customHeight="false" outlineLevel="0" collapsed="false">
      <c r="C15" s="3" t="s">
        <v>27</v>
      </c>
      <c r="H15" s="0" t="n">
        <v>8</v>
      </c>
      <c r="N15" s="4" t="n">
        <f aca="false">SUMPRODUCT(D$1:J$1,D15:J15)</f>
        <v>1520</v>
      </c>
      <c r="O15" s="5" t="s">
        <v>28</v>
      </c>
    </row>
    <row r="16" customFormat="false" ht="15" hidden="false" customHeight="false" outlineLevel="0" collapsed="false">
      <c r="C16" s="1" t="s">
        <v>25</v>
      </c>
      <c r="D16" s="1" t="n">
        <f aca="false">SUBTOTAL(9,D15:D15)</f>
        <v>0</v>
      </c>
      <c r="E16" s="1" t="n">
        <f aca="false">SUBTOTAL(9,E15:E15)</f>
        <v>0</v>
      </c>
      <c r="F16" s="1" t="n">
        <f aca="false">SUBTOTAL(9,F15:F15)</f>
        <v>0</v>
      </c>
      <c r="G16" s="1" t="n">
        <f aca="false">SUBTOTAL(9,G15:G15)</f>
        <v>0</v>
      </c>
      <c r="H16" s="1" t="n">
        <f aca="false">SUBTOTAL(9,H15:H15)</f>
        <v>8</v>
      </c>
      <c r="I16" s="1" t="n">
        <f aca="false">SUBTOTAL(9,I15:I15)</f>
        <v>0</v>
      </c>
      <c r="J16" s="1" t="n">
        <f aca="false">SUBTOTAL(9,J15:J15)</f>
        <v>0</v>
      </c>
      <c r="N16" s="6" t="n">
        <f aca="false">SUBTOTAL(9,N15:N15)</f>
        <v>1520</v>
      </c>
      <c r="P16" s="1" t="n">
        <f aca="false">SUM(D16:J16)</f>
        <v>8</v>
      </c>
      <c r="Q16" s="4" t="n">
        <f aca="false">IF(P16=0,"",N16/P16)</f>
        <v>190</v>
      </c>
    </row>
    <row r="18" customFormat="false" ht="15" hidden="false" customHeight="false" outlineLevel="0" collapsed="false">
      <c r="C18" s="1" t="s">
        <v>29</v>
      </c>
      <c r="D18" s="1" t="n">
        <f aca="false">SUBTOTAL(9,D4:D17)</f>
        <v>0</v>
      </c>
      <c r="E18" s="1" t="n">
        <f aca="false">SUBTOTAL(9,E4:E17)</f>
        <v>0</v>
      </c>
      <c r="F18" s="1" t="n">
        <f aca="false">SUBTOTAL(9,F4:F17)</f>
        <v>3</v>
      </c>
      <c r="G18" s="1" t="n">
        <f aca="false">SUBTOTAL(9,G4:G17)</f>
        <v>0</v>
      </c>
      <c r="H18" s="1" t="n">
        <f aca="false">SUBTOTAL(9,H4:H17)</f>
        <v>26</v>
      </c>
      <c r="I18" s="1" t="n">
        <f aca="false">SUBTOTAL(9,I4:I17)</f>
        <v>21</v>
      </c>
      <c r="J18" s="1" t="n">
        <f aca="false">SUBTOTAL(9,J4:J17)</f>
        <v>0</v>
      </c>
      <c r="N18" s="6" t="n">
        <f aca="false">SUBTOTAL(9,N4:N17)</f>
        <v>9050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0"/>
    <col collapsed="false" customWidth="true" hidden="false" outlineLevel="0" max="3" min="3" style="0" width="55"/>
    <col collapsed="false" customWidth="true" hidden="false" outlineLevel="0" max="4" min="4" style="0" width="15"/>
    <col collapsed="false" customWidth="true" hidden="false" outlineLevel="0" max="5" min="5" style="0" width="50"/>
    <col collapsed="false" customWidth="true" hidden="false" outlineLevel="0" max="7" min="7" style="0" width="15"/>
  </cols>
  <sheetData>
    <row r="2" customFormat="false" ht="15" hidden="false" customHeight="false" outlineLevel="0" collapsed="false">
      <c r="B2" s="1" t="s">
        <v>30</v>
      </c>
      <c r="G2" s="1" t="s">
        <v>4</v>
      </c>
    </row>
    <row r="3" customFormat="false" ht="15" hidden="false" customHeight="false" outlineLevel="0" collapsed="false">
      <c r="B3" s="1" t="s">
        <v>31</v>
      </c>
      <c r="C3" s="1" t="s">
        <v>6</v>
      </c>
      <c r="D3" s="1" t="s">
        <v>32</v>
      </c>
      <c r="E3" s="1" t="s">
        <v>33</v>
      </c>
    </row>
    <row r="5" customFormat="false" ht="15" hidden="false" customHeight="false" outlineLevel="0" collapsed="false">
      <c r="B5" s="7" t="s">
        <v>34</v>
      </c>
      <c r="C5" s="7" t="s">
        <v>35</v>
      </c>
      <c r="D5" s="4" t="n">
        <f aca="false">SUMIF(BUILDUP!O:O,G5,BUILDUP!N:N)</f>
        <v>7530</v>
      </c>
      <c r="G5" s="5" t="s">
        <v>18</v>
      </c>
    </row>
    <row r="6" customFormat="false" ht="15" hidden="false" customHeight="false" outlineLevel="0" collapsed="false">
      <c r="C6" s="7" t="s">
        <v>36</v>
      </c>
      <c r="D6" s="4" t="n">
        <f aca="false">SUMIF(BUILDUP!O:O,G6,BUILDUP!N:N)</f>
        <v>1520</v>
      </c>
      <c r="G6" s="5" t="s">
        <v>28</v>
      </c>
    </row>
    <row r="7" customFormat="false" ht="15" hidden="false" customHeight="false" outlineLevel="0" collapsed="false">
      <c r="C7" s="1" t="s">
        <v>37</v>
      </c>
      <c r="D7" s="6" t="n">
        <f aca="false">SUBTOTAL(9,D5:D6)</f>
        <v>9050</v>
      </c>
    </row>
    <row r="9" customFormat="false" ht="15" hidden="false" customHeight="false" outlineLevel="0" collapsed="false">
      <c r="B9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2026-10-19T20:34:53Z</dcterms:created>
  <dc:creator>openpyxl</dc:creator>
  <dc:description/>
  <dc:language>en-US</dc:language>
  <cp:lastModifiedBy/>
  <dcterms:modified xsi:type="dcterms:W3CDTF">2026-10-19T20:34:53Z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