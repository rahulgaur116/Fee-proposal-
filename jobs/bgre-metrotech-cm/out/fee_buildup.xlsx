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UP" sheetId="1" state="visible" r:id="rId3"/>
    <sheet name="CLIENT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<sst xmlns="http://schemas.openxmlformats.org/spreadsheetml/2006/main" count="60" uniqueCount="45">
  <si>
    <t xml:space="preserve">RATE</t>
  </si>
  <si>
    <t xml:space="preserve">HOURS</t>
  </si>
  <si>
    <t xml:space="preserve">REIMBURSABLES</t>
  </si>
  <si>
    <t xml:space="preserve">FEE</t>
  </si>
  <si>
    <t xml:space="preserve">SUMMARY CODE</t>
  </si>
  <si>
    <t xml:space="preserve">Comments &amp; Notes</t>
  </si>
  <si>
    <t xml:space="preserve">Task</t>
  </si>
  <si>
    <t xml:space="preserve">VP</t>
  </si>
  <si>
    <t xml:space="preserve">SDR</t>
  </si>
  <si>
    <t xml:space="preserve">DR</t>
  </si>
  <si>
    <t xml:space="preserve">AD</t>
  </si>
  <si>
    <t xml:space="preserve">SC</t>
  </si>
  <si>
    <t xml:space="preserve">CM</t>
  </si>
  <si>
    <t xml:space="preserve">ACM</t>
  </si>
  <si>
    <t xml:space="preserve">LUMP SUM</t>
  </si>
  <si>
    <t xml:space="preserve">TOTAL</t>
  </si>
  <si>
    <t xml:space="preserve">Cost Management through 100% Design Development  [A]</t>
  </si>
  <si>
    <t xml:space="preserve">Mobilization: cost-control framework, WBS/cost codes by asset-improvement bucket, report formats &amp; procedures</t>
  </si>
  <si>
    <t xml:space="preserve">A</t>
  </si>
  <si>
    <t xml:space="preserve">Baseline budget establishment &amp; validation across the four asset-improvement buckets</t>
  </si>
  <si>
    <t xml:space="preserve">Design milestone estimate &amp; contractor pricing reviews (test fit, schematic, 100% DD)</t>
  </si>
  <si>
    <t xml:space="preserve">Design-team &amp; early bid package leveling with recommendation matrices</t>
  </si>
  <si>
    <t xml:space="preserve">Monthly cost report &amp; cost-to-complete forecast (design period)</t>
  </si>
  <si>
    <t xml:space="preserve">Commitment &amp; change log maintenance; procurement cost tracking (design period)</t>
  </si>
  <si>
    <t xml:space="preserve">Cost oversight &amp; monthly owner cost meeting (design period)</t>
  </si>
  <si>
    <t xml:space="preserve">Subtotal</t>
  </si>
  <si>
    <t xml:space="preserve">Cost Management — Construction through Closeout  [B]</t>
  </si>
  <si>
    <t xml:space="preserve">Trade / GMP bid package leveling &amp; recommendation matrices, incl. MWBE participation tracking</t>
  </si>
  <si>
    <t xml:space="preserve">B</t>
  </si>
  <si>
    <t xml:space="preserve">Monthly cost report, cost-to-complete forecast &amp; contingency tracking (four buckets)</t>
  </si>
  <si>
    <t xml:space="preserve">Change order review: pricing verification, entitlement, alternatives; change &amp; commitment logs</t>
  </si>
  <si>
    <t xml:space="preserve">Cost oversight &amp; monthly owner cost meeting (construction &amp; closeout)</t>
  </si>
  <si>
    <t xml:space="preserve">Final cost reconciliation &amp; closeout cost report per bucket</t>
  </si>
  <si>
    <t xml:space="preserve">GRAND TOTAL</t>
  </si>
  <si>
    <t xml:space="preserve">ESTIMATING SCOPE OF SERVICES</t>
  </si>
  <si>
    <t xml:space="preserve">Project</t>
  </si>
  <si>
    <t xml:space="preserve">Lump Sum Fee</t>
  </si>
  <si>
    <t xml:space="preserve">Deliverable</t>
  </si>
  <si>
    <t xml:space="preserve">DCAS Fitout, Whitebox &amp; Capital Improvement — 1 Metrotech Center</t>
  </si>
  <si>
    <t xml:space="preserve">Cost Management through 100% Design Development</t>
  </si>
  <si>
    <t xml:space="preserve">Cost Management — Construction through Closeout</t>
  </si>
  <si>
    <t xml:space="preserve">Rate escalation across 38-month term (5% at each contract anniversary)</t>
  </si>
  <si>
    <t xml:space="preserve">Hardcoded from fee_model.json lock 3f0585e10b5d: escalated subtotal minus BUILDUP flat rates</t>
  </si>
  <si>
    <t xml:space="preserve">TOTAL LUMP SUM FEE</t>
  </si>
  <si>
    <t xml:space="preserve">Locked fee model 3f0585e10b5d: total $335,583. If the buildup is edited, re-run `feeprop price` so the proposal and this workbook stay on one number.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</si>
</sst>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70"/>
    <col collapsed="false" customWidth="true" hidden="false" outlineLevel="0" max="10" min="4" style="1" width="7"/>
    <col collapsed="false" customWidth="true" hidden="false" outlineLevel="0" max="12" min="12" style="1" width="15"/>
    <col collapsed="false" customWidth="true" hidden="false" outlineLevel="0" max="14" min="14" style="1" width="12"/>
    <col collapsed="false" customWidth="true" hidden="false" outlineLevel="0" max="15" min="15" style="1" width="15"/>
  </cols>
  <sheetData>
    <row r="1" customFormat="false" ht="15" hidden="false" customHeight="true" outlineLevel="0" collapsed="false">
      <c r="C1" s="2" t="s">
        <v>0</v>
      </c>
      <c r="D1" s="3" t="n">
        <v>350</v>
      </c>
      <c r="E1" s="3" t="n">
        <v>300</v>
      </c>
      <c r="F1" s="3" t="n">
        <v>250</v>
      </c>
      <c r="G1" s="3" t="n">
        <v>225</v>
      </c>
      <c r="H1" s="3" t="n">
        <v>190</v>
      </c>
      <c r="I1" s="3" t="n">
        <v>160</v>
      </c>
      <c r="J1" s="3" t="n">
        <v>110</v>
      </c>
    </row>
    <row r="2" customFormat="false" ht="15" hidden="false" customHeight="true" outlineLevel="0" collapsed="false">
      <c r="D2" s="2" t="s">
        <v>1</v>
      </c>
      <c r="L2" s="2" t="s">
        <v>2</v>
      </c>
      <c r="N2" s="2" t="s">
        <v>3</v>
      </c>
      <c r="O2" s="2" t="s">
        <v>4</v>
      </c>
    </row>
    <row r="3" customFormat="false" ht="15" hidden="false" customHeight="true" outlineLevel="0" collapsed="false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L3" s="2" t="s">
        <v>14</v>
      </c>
      <c r="N3" s="2" t="s">
        <v>15</v>
      </c>
    </row>
    <row r="4" customFormat="false" ht="15" hidden="false" customHeight="true" outlineLevel="0" collapsed="false">
      <c r="C4" s="2" t="s">
        <v>16</v>
      </c>
    </row>
    <row r="5" customFormat="false" ht="26.25" hidden="false" customHeight="true" outlineLevel="0" collapsed="false">
      <c r="C5" s="4" t="s">
        <v>17</v>
      </c>
      <c r="F5" s="1" t="n">
        <v>8</v>
      </c>
      <c r="H5" s="1" t="n">
        <v>16</v>
      </c>
      <c r="I5" s="1" t="n">
        <v>12</v>
      </c>
      <c r="N5" s="5" t="n">
        <f aca="false">SUMPRODUCT(D$1:J$1,D5:J5)</f>
        <v>6960</v>
      </c>
      <c r="O5" s="1" t="s">
        <v>18</v>
      </c>
    </row>
    <row r="6" customFormat="false" ht="15" hidden="false" customHeight="true" outlineLevel="0" collapsed="false">
      <c r="C6" s="4" t="s">
        <v>19</v>
      </c>
      <c r="F6" s="1" t="n">
        <v>8</v>
      </c>
      <c r="H6" s="1" t="n">
        <v>32</v>
      </c>
      <c r="I6" s="1" t="n">
        <v>24</v>
      </c>
      <c r="N6" s="5" t="n">
        <f aca="false">SUMPRODUCT(D$1:J$1,D6:J6)</f>
        <v>11920</v>
      </c>
      <c r="O6" s="1" t="s">
        <v>18</v>
      </c>
    </row>
    <row r="7" customFormat="false" ht="15" hidden="false" customHeight="true" outlineLevel="0" collapsed="false">
      <c r="C7" s="4" t="s">
        <v>20</v>
      </c>
      <c r="F7" s="1" t="n">
        <v>18</v>
      </c>
      <c r="H7" s="1" t="n">
        <v>72</v>
      </c>
      <c r="I7" s="1" t="n">
        <v>48</v>
      </c>
      <c r="N7" s="5" t="n">
        <f aca="false">SUMPRODUCT(D$1:J$1,D7:J7)</f>
        <v>25860</v>
      </c>
      <c r="O7" s="1" t="s">
        <v>18</v>
      </c>
    </row>
    <row r="8" customFormat="false" ht="15" hidden="false" customHeight="true" outlineLevel="0" collapsed="false">
      <c r="C8" s="4" t="s">
        <v>21</v>
      </c>
      <c r="H8" s="1" t="n">
        <v>32</v>
      </c>
      <c r="I8" s="1" t="n">
        <v>24</v>
      </c>
      <c r="N8" s="5" t="n">
        <f aca="false">SUMPRODUCT(D$1:J$1,D8:J8)</f>
        <v>9920</v>
      </c>
      <c r="O8" s="1" t="s">
        <v>18</v>
      </c>
    </row>
    <row r="9" customFormat="false" ht="15" hidden="false" customHeight="true" outlineLevel="0" collapsed="false">
      <c r="C9" s="4" t="s">
        <v>22</v>
      </c>
      <c r="H9" s="1" t="n">
        <v>50</v>
      </c>
      <c r="I9" s="1" t="n">
        <v>40</v>
      </c>
      <c r="N9" s="5" t="n">
        <f aca="false">SUMPRODUCT(D$1:J$1,D9:J9)</f>
        <v>15900</v>
      </c>
      <c r="O9" s="1" t="s">
        <v>18</v>
      </c>
    </row>
    <row r="10" customFormat="false" ht="15" hidden="false" customHeight="true" outlineLevel="0" collapsed="false">
      <c r="C10" s="4" t="s">
        <v>23</v>
      </c>
      <c r="H10" s="1" t="n">
        <v>20</v>
      </c>
      <c r="I10" s="1" t="n">
        <v>15</v>
      </c>
      <c r="N10" s="5" t="n">
        <f aca="false">SUMPRODUCT(D$1:J$1,D10:J10)</f>
        <v>6200</v>
      </c>
      <c r="O10" s="1" t="s">
        <v>18</v>
      </c>
    </row>
    <row r="11" customFormat="false" ht="15" hidden="false" customHeight="true" outlineLevel="0" collapsed="false">
      <c r="C11" s="4" t="s">
        <v>24</v>
      </c>
      <c r="D11" s="1" t="n">
        <v>5</v>
      </c>
      <c r="F11" s="1" t="n">
        <v>15</v>
      </c>
      <c r="N11" s="5" t="n">
        <f aca="false">SUMPRODUCT(D$1:J$1,D11:J11)</f>
        <v>5500</v>
      </c>
      <c r="O11" s="1" t="s">
        <v>18</v>
      </c>
    </row>
    <row r="12" customFormat="false" ht="15" hidden="false" customHeight="true" outlineLevel="0" collapsed="false">
      <c r="C12" s="2" t="s">
        <v>25</v>
      </c>
      <c r="D12" s="2" t="n">
        <f aca="false">SUBTOTAL(9,D5:D11)</f>
        <v>5</v>
      </c>
      <c r="E12" s="2" t="n">
        <f aca="false">SUBTOTAL(9,E5:E11)</f>
        <v>0</v>
      </c>
      <c r="F12" s="2" t="n">
        <f aca="false">SUBTOTAL(9,F5:F11)</f>
        <v>49</v>
      </c>
      <c r="G12" s="2" t="n">
        <f aca="false">SUBTOTAL(9,G5:G11)</f>
        <v>0</v>
      </c>
      <c r="H12" s="2" t="n">
        <f aca="false">SUBTOTAL(9,H5:H11)</f>
        <v>222</v>
      </c>
      <c r="I12" s="2" t="n">
        <f aca="false">SUBTOTAL(9,I5:I11)</f>
        <v>163</v>
      </c>
      <c r="J12" s="2" t="n">
        <f aca="false">SUBTOTAL(9,J5:J11)</f>
        <v>0</v>
      </c>
      <c r="N12" s="6" t="n">
        <f aca="false">SUBTOTAL(9,N5:N11)</f>
        <v>82260</v>
      </c>
      <c r="P12" s="2" t="n">
        <f aca="false">SUM(D12:J12)</f>
        <v>439</v>
      </c>
      <c r="Q12" s="5" t="n">
        <f aca="false">IF(P12=0,"",N12/P12)</f>
        <v>187.380410022779</v>
      </c>
    </row>
    <row r="14" customFormat="false" ht="15" hidden="false" customHeight="true" outlineLevel="0" collapsed="false">
      <c r="C14" s="2" t="s">
        <v>26</v>
      </c>
    </row>
    <row r="15" customFormat="false" ht="26.25" hidden="false" customHeight="true" outlineLevel="0" collapsed="false">
      <c r="C15" s="4" t="s">
        <v>27</v>
      </c>
      <c r="H15" s="1" t="n">
        <v>96</v>
      </c>
      <c r="I15" s="1" t="n">
        <v>72</v>
      </c>
      <c r="N15" s="5" t="n">
        <f aca="false">SUMPRODUCT(D$1:J$1,D15:J15)</f>
        <v>29760</v>
      </c>
      <c r="O15" s="1" t="s">
        <v>28</v>
      </c>
    </row>
    <row r="16" customFormat="false" ht="15" hidden="false" customHeight="true" outlineLevel="0" collapsed="false">
      <c r="C16" s="4" t="s">
        <v>29</v>
      </c>
      <c r="H16" s="1" t="n">
        <v>330</v>
      </c>
      <c r="I16" s="1" t="n">
        <v>264</v>
      </c>
      <c r="N16" s="5" t="n">
        <f aca="false">SUMPRODUCT(D$1:J$1,D16:J16)</f>
        <v>104940</v>
      </c>
      <c r="O16" s="1" t="s">
        <v>28</v>
      </c>
    </row>
    <row r="17" customFormat="false" ht="15" hidden="false" customHeight="true" outlineLevel="0" collapsed="false">
      <c r="C17" s="4" t="s">
        <v>30</v>
      </c>
      <c r="H17" s="1" t="n">
        <v>198</v>
      </c>
      <c r="I17" s="1" t="n">
        <v>132</v>
      </c>
      <c r="N17" s="5" t="n">
        <f aca="false">SUMPRODUCT(D$1:J$1,D17:J17)</f>
        <v>58740</v>
      </c>
      <c r="O17" s="1" t="s">
        <v>28</v>
      </c>
    </row>
    <row r="18" customFormat="false" ht="15" hidden="false" customHeight="true" outlineLevel="0" collapsed="false">
      <c r="C18" s="4" t="s">
        <v>31</v>
      </c>
      <c r="D18" s="1" t="n">
        <v>33</v>
      </c>
      <c r="F18" s="1" t="n">
        <v>99</v>
      </c>
      <c r="N18" s="5" t="n">
        <f aca="false">SUMPRODUCT(D$1:J$1,D18:J18)</f>
        <v>36300</v>
      </c>
      <c r="O18" s="1" t="s">
        <v>28</v>
      </c>
    </row>
    <row r="19" customFormat="false" ht="15" hidden="false" customHeight="true" outlineLevel="0" collapsed="false">
      <c r="C19" s="4" t="s">
        <v>32</v>
      </c>
      <c r="F19" s="1" t="n">
        <v>4</v>
      </c>
      <c r="H19" s="1" t="n">
        <v>24</v>
      </c>
      <c r="I19" s="1" t="n">
        <v>16</v>
      </c>
      <c r="N19" s="5" t="n">
        <f aca="false">SUMPRODUCT(D$1:J$1,D19:J19)</f>
        <v>8120</v>
      </c>
      <c r="O19" s="1" t="s">
        <v>28</v>
      </c>
    </row>
    <row r="20" customFormat="false" ht="15" hidden="false" customHeight="true" outlineLevel="0" collapsed="false">
      <c r="C20" s="2" t="s">
        <v>25</v>
      </c>
      <c r="D20" s="2" t="n">
        <f aca="false">SUBTOTAL(9,D15:D19)</f>
        <v>33</v>
      </c>
      <c r="E20" s="2" t="n">
        <f aca="false">SUBTOTAL(9,E15:E19)</f>
        <v>0</v>
      </c>
      <c r="F20" s="2" t="n">
        <f aca="false">SUBTOTAL(9,F15:F19)</f>
        <v>103</v>
      </c>
      <c r="G20" s="2" t="n">
        <f aca="false">SUBTOTAL(9,G15:G19)</f>
        <v>0</v>
      </c>
      <c r="H20" s="2" t="n">
        <f aca="false">SUBTOTAL(9,H15:H19)</f>
        <v>648</v>
      </c>
      <c r="I20" s="2" t="n">
        <f aca="false">SUBTOTAL(9,I15:I19)</f>
        <v>484</v>
      </c>
      <c r="J20" s="2" t="n">
        <f aca="false">SUBTOTAL(9,J15:J19)</f>
        <v>0</v>
      </c>
      <c r="N20" s="6" t="n">
        <f aca="false">SUBTOTAL(9,N15:N19)</f>
        <v>237860</v>
      </c>
      <c r="P20" s="2" t="n">
        <f aca="false">SUM(D20:J20)</f>
        <v>1268</v>
      </c>
      <c r="Q20" s="5" t="n">
        <f aca="false">IF(P20=0,"",N20/P20)</f>
        <v>187.586750788644</v>
      </c>
    </row>
    <row r="22" customFormat="false" ht="15" hidden="false" customHeight="true" outlineLevel="0" collapsed="false">
      <c r="C22" s="2" t="s">
        <v>33</v>
      </c>
      <c r="D22" s="2" t="n">
        <f aca="false">SUBTOTAL(9,D4:D21)</f>
        <v>38</v>
      </c>
      <c r="E22" s="2" t="n">
        <f aca="false">SUBTOTAL(9,E4:E21)</f>
        <v>0</v>
      </c>
      <c r="F22" s="2" t="n">
        <f aca="false">SUBTOTAL(9,F4:F21)</f>
        <v>152</v>
      </c>
      <c r="G22" s="2" t="n">
        <f aca="false">SUBTOTAL(9,G4:G21)</f>
        <v>0</v>
      </c>
      <c r="H22" s="2" t="n">
        <f aca="false">SUBTOTAL(9,H4:H21)</f>
        <v>870</v>
      </c>
      <c r="I22" s="2" t="n">
        <f aca="false">SUBTOTAL(9,I4:I21)</f>
        <v>647</v>
      </c>
      <c r="J22" s="2" t="n">
        <f aca="false">SUBTOTAL(9,J4:J21)</f>
        <v>0</v>
      </c>
      <c r="N22" s="6" t="n">
        <f aca="false">SUBTOTAL(9,N4:N21)</f>
        <v>320120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55"/>
    <col collapsed="false" customWidth="true" hidden="false" outlineLevel="0" max="4" min="4" style="1" width="15"/>
    <col collapsed="false" customWidth="true" hidden="false" outlineLevel="0" max="5" min="5" style="1" width="50"/>
    <col collapsed="false" customWidth="true" hidden="false" outlineLevel="0" max="7" min="7" style="1" width="15"/>
  </cols>
  <sheetData>
    <row r="2" customFormat="false" ht="15" hidden="false" customHeight="true" outlineLevel="0" collapsed="false">
      <c r="B2" s="2" t="s">
        <v>34</v>
      </c>
      <c r="G2" s="2" t="s">
        <v>4</v>
      </c>
    </row>
    <row r="3" customFormat="false" ht="15" hidden="false" customHeight="true" outlineLevel="0" collapsed="false">
      <c r="B3" s="2" t="s">
        <v>35</v>
      </c>
      <c r="C3" s="2" t="s">
        <v>6</v>
      </c>
      <c r="D3" s="2" t="s">
        <v>36</v>
      </c>
      <c r="E3" s="2" t="s">
        <v>37</v>
      </c>
    </row>
    <row r="5" customFormat="false" ht="15" hidden="false" customHeight="true" outlineLevel="0" collapsed="false">
      <c r="B5" s="7" t="s">
        <v>38</v>
      </c>
      <c r="C5" s="7" t="s">
        <v>39</v>
      </c>
      <c r="D5" s="5" t="n">
        <f aca="false">SUMIF(BUILDUP!O:O,G5,BUILDUP!N:N)</f>
        <v>82260</v>
      </c>
      <c r="G5" s="1" t="s">
        <v>18</v>
      </c>
    </row>
    <row r="6" customFormat="false" ht="15" hidden="false" customHeight="true" outlineLevel="0" collapsed="false">
      <c r="C6" s="7" t="s">
        <v>40</v>
      </c>
      <c r="D6" s="5" t="n">
        <f aca="false">SUMIF(BUILDUP!O:O,G6,BUILDUP!N:N)</f>
        <v>237860</v>
      </c>
      <c r="G6" s="1" t="s">
        <v>28</v>
      </c>
    </row>
    <row r="7" customFormat="false" ht="15" hidden="false" customHeight="true" outlineLevel="0" collapsed="false">
      <c r="C7" s="8" t="s">
        <v>41</v>
      </c>
      <c r="D7" s="9" t="n">
        <v>15462.66</v>
      </c>
      <c r="E7" s="10" t="s">
        <v>42</v>
      </c>
    </row>
    <row r="8" customFormat="false" ht="15" hidden="false" customHeight="false" outlineLevel="0" collapsed="false">
      <c r="C8" s="2" t="s">
        <v>43</v>
      </c>
      <c r="D8" s="11" t="n">
        <f aca="false">SUM(D5:D7)</f>
        <v>335582.66</v>
      </c>
    </row>
    <row r="9" customFormat="false" ht="15" hidden="false" customHeight="true" outlineLevel="0" collapsed="false"/>
    <row r="10" customFormat="false" ht="15" hidden="false" customHeight="false" outlineLevel="0" collapsed="false">
      <c r="B10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2026-09-08T20:19:07Z</dcterms:created>
  <dc:creator>openpyxl</dc:creator>
  <dc:description/>
  <dc:language>en-US</dc:language>
  <cp:lastModifiedBy/>
  <dcterms:modified xsi:type="dcterms:W3CDTF">2026-09-08T20:20:17Z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