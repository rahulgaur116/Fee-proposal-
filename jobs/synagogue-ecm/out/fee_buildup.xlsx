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UP" sheetId="1" state="visible" r:id="rId3"/>
    <sheet name="CLIENT VI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<sst xmlns="http://schemas.openxmlformats.org/spreadsheetml/2006/main" count="60" uniqueCount="44">
  <si>
    <t xml:space="preserve">RATE</t>
  </si>
  <si>
    <t xml:space="preserve">HOURS</t>
  </si>
  <si>
    <t xml:space="preserve">REIMBURSABLES</t>
  </si>
  <si>
    <t xml:space="preserve">FEE</t>
  </si>
  <si>
    <t xml:space="preserve">SUMMARY CODE</t>
  </si>
  <si>
    <t xml:space="preserve">Comments &amp; Notes</t>
  </si>
  <si>
    <t xml:space="preserve">Task</t>
  </si>
  <si>
    <t xml:space="preserve">VP</t>
  </si>
  <si>
    <t xml:space="preserve">SDR</t>
  </si>
  <si>
    <t xml:space="preserve">DR</t>
  </si>
  <si>
    <t xml:space="preserve">AD</t>
  </si>
  <si>
    <t xml:space="preserve">SC</t>
  </si>
  <si>
    <t xml:space="preserve">CM</t>
  </si>
  <si>
    <t xml:space="preserve">ACM</t>
  </si>
  <si>
    <t xml:space="preserve">LUMP SUM</t>
  </si>
  <si>
    <t xml:space="preserve">TOTAL</t>
  </si>
  <si>
    <t xml:space="preserve">Concept Level Estimate — Energy Conservation Measures  [A]</t>
  </si>
  <si>
    <t xml:space="preserve">Kickoff; review ECM scope narrative and FCA recommendations</t>
  </si>
  <si>
    <t xml:space="preserve">A</t>
  </si>
  <si>
    <t xml:space="preserve">Site walk — Synagogue &amp; Community House (one day, incl. travel and field notes)</t>
  </si>
  <si>
    <t xml:space="preserve">Steam-to-hot-water conversion, Option 1: central conversion at Synagogue, street crossing, coil and piping conversion</t>
  </si>
  <si>
    <t xml:space="preserve">Steam-to-hot-water conversion, Option 2: conversion at each building cellar — comparative delta pricing</t>
  </si>
  <si>
    <t xml:space="preserve">Condensate recovery: tanks, pump sets, piping infrastructure, PRV/valve control upgrades, 120F coil resizing at both buildings</t>
  </si>
  <si>
    <t xml:space="preserve">Fan coil / AHU replacement per FCA ((6) perimeter FCUs per floor); three-way to two-way valve conversions</t>
  </si>
  <si>
    <t xml:space="preserve">Ventilation &amp; controls: BMS integration, DCV at Community House, VAV dampers / OA metering at Sanctuary, DOAS heat recovery, off-hours retuning</t>
  </si>
  <si>
    <t xml:space="preserve">Lighting &amp; electrical: LED upgrade per 5th Floor standard; occupancy-based plug-load receptacle controls</t>
  </si>
  <si>
    <t xml:space="preserve">Envelope: Community House window replacement (double-pane IGU base, triple-pane add alternate); wall insulation per-floor basis</t>
  </si>
  <si>
    <t xml:space="preserve">Estimate assembly: markups, GCs, escalation and allowances; Option 1 vs Option 2 comparison summary</t>
  </si>
  <si>
    <t xml:space="preserve">Principal QA review of draft estimate</t>
  </si>
  <si>
    <t xml:space="preserve">Subtotal</t>
  </si>
  <si>
    <t xml:space="preserve">Estimate Review &amp; Final Issue  [B]</t>
  </si>
  <si>
    <t xml:space="preserve">Estimate review meeting with Owner and design team (virtual, incl. preparation)</t>
  </si>
  <si>
    <t xml:space="preserve">B</t>
  </si>
  <si>
    <t xml:space="preserve">Incorporate one consolidated round of review comments; final issue of concept estimate</t>
  </si>
  <si>
    <t xml:space="preserve">GRAND TOTAL</t>
  </si>
  <si>
    <t xml:space="preserve">ESTIMATING SCOPE OF SERVICES</t>
  </si>
  <si>
    <t xml:space="preserve">Project</t>
  </si>
  <si>
    <t xml:space="preserve">Lump Sum Fee</t>
  </si>
  <si>
    <t xml:space="preserve">Deliverable</t>
  </si>
  <si>
    <t xml:space="preserve">Synagogue &amp; Community House — Energy Conservation Measures Program</t>
  </si>
  <si>
    <t xml:space="preserve">Concept Level Estimate — Energy Conservation Measures</t>
  </si>
  <si>
    <t xml:space="preserve">Estimate Review &amp; Final Issue</t>
  </si>
  <si>
    <t xml:space="preserve">TOTAL LUMP SUM FEE</t>
  </si>
  <si>
    <t xml:space="preserve">Locked fee model 8b8735440843: total $17,600. If the buildup is edited, re-run `feeprop price` so the proposal and this workbook stay on one number.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</si>
</sst>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10" min="4" style="0" width="7"/>
    <col collapsed="false" customWidth="true" hidden="false" outlineLevel="0" max="12" min="12" style="0" width="15"/>
    <col collapsed="false" customWidth="true" hidden="false" outlineLevel="0" max="14" min="14" style="0" width="12"/>
    <col collapsed="false" customWidth="true" hidden="false" outlineLevel="0" max="15" min="15" style="0" width="15"/>
  </cols>
  <sheetData>
    <row r="1" customFormat="false" ht="15" hidden="false" customHeight="false" outlineLevel="0" collapsed="false">
      <c r="C1" s="1" t="s">
        <v>0</v>
      </c>
      <c r="D1" s="2" t="n">
        <v>350</v>
      </c>
      <c r="E1" s="2" t="n">
        <v>300</v>
      </c>
      <c r="F1" s="2" t="n">
        <v>250</v>
      </c>
      <c r="G1" s="2" t="n">
        <v>225</v>
      </c>
      <c r="H1" s="2" t="n">
        <v>190</v>
      </c>
      <c r="I1" s="2" t="n">
        <v>150</v>
      </c>
      <c r="J1" s="2" t="n">
        <v>110</v>
      </c>
    </row>
    <row r="2" customFormat="false" ht="15" hidden="false" customHeight="false" outlineLevel="0" collapsed="false">
      <c r="D2" s="1" t="s">
        <v>1</v>
      </c>
      <c r="L2" s="1" t="s">
        <v>2</v>
      </c>
      <c r="N2" s="1" t="s">
        <v>3</v>
      </c>
      <c r="O2" s="1" t="s">
        <v>4</v>
      </c>
    </row>
    <row r="3" customFormat="false" ht="15" hidden="false" customHeight="false" outlineLevel="0" collapsed="false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L3" s="1" t="s">
        <v>14</v>
      </c>
      <c r="N3" s="1" t="s">
        <v>15</v>
      </c>
    </row>
    <row r="4" customFormat="false" ht="15" hidden="false" customHeight="false" outlineLevel="0" collapsed="false">
      <c r="C4" s="1" t="s">
        <v>16</v>
      </c>
    </row>
    <row r="5" customFormat="false" ht="15" hidden="false" customHeight="false" outlineLevel="0" collapsed="false">
      <c r="C5" s="3" t="s">
        <v>17</v>
      </c>
      <c r="F5" s="0" t="n">
        <v>2</v>
      </c>
      <c r="H5" s="0" t="n">
        <v>3</v>
      </c>
      <c r="N5" s="4" t="n">
        <f aca="false">SUMPRODUCT(D$1:J$1,D5:J5)</f>
        <v>1070</v>
      </c>
      <c r="O5" s="5" t="s">
        <v>18</v>
      </c>
    </row>
    <row r="6" customFormat="false" ht="15" hidden="false" customHeight="false" outlineLevel="0" collapsed="false">
      <c r="C6" s="3" t="s">
        <v>19</v>
      </c>
      <c r="F6" s="0" t="n">
        <v>5</v>
      </c>
      <c r="H6" s="0" t="n">
        <v>5</v>
      </c>
      <c r="N6" s="4" t="n">
        <f aca="false">SUMPRODUCT(D$1:J$1,D6:J6)</f>
        <v>2200</v>
      </c>
      <c r="O6" s="5" t="s">
        <v>18</v>
      </c>
    </row>
    <row r="7" customFormat="false" ht="26.85" hidden="false" customHeight="false" outlineLevel="0" collapsed="false">
      <c r="C7" s="3" t="s">
        <v>20</v>
      </c>
      <c r="H7" s="0" t="n">
        <v>6</v>
      </c>
      <c r="I7" s="0" t="n">
        <v>4</v>
      </c>
      <c r="N7" s="4" t="n">
        <f aca="false">SUMPRODUCT(D$1:J$1,D7:J7)</f>
        <v>1740</v>
      </c>
      <c r="O7" s="5" t="s">
        <v>18</v>
      </c>
    </row>
    <row r="8" customFormat="false" ht="26.85" hidden="false" customHeight="false" outlineLevel="0" collapsed="false">
      <c r="C8" s="3" t="s">
        <v>21</v>
      </c>
      <c r="H8" s="0" t="n">
        <v>4</v>
      </c>
      <c r="I8" s="0" t="n">
        <v>2</v>
      </c>
      <c r="N8" s="4" t="n">
        <f aca="false">SUMPRODUCT(D$1:J$1,D8:J8)</f>
        <v>1060</v>
      </c>
      <c r="O8" s="5" t="s">
        <v>18</v>
      </c>
    </row>
    <row r="9" customFormat="false" ht="26.85" hidden="false" customHeight="false" outlineLevel="0" collapsed="false">
      <c r="C9" s="3" t="s">
        <v>22</v>
      </c>
      <c r="H9" s="0" t="n">
        <v>5</v>
      </c>
      <c r="I9" s="0" t="n">
        <v>2</v>
      </c>
      <c r="N9" s="4" t="n">
        <f aca="false">SUMPRODUCT(D$1:J$1,D9:J9)</f>
        <v>1250</v>
      </c>
      <c r="O9" s="5" t="s">
        <v>18</v>
      </c>
    </row>
    <row r="10" customFormat="false" ht="26.85" hidden="false" customHeight="false" outlineLevel="0" collapsed="false">
      <c r="C10" s="3" t="s">
        <v>23</v>
      </c>
      <c r="H10" s="0" t="n">
        <v>4</v>
      </c>
      <c r="I10" s="0" t="n">
        <v>4</v>
      </c>
      <c r="N10" s="4" t="n">
        <f aca="false">SUMPRODUCT(D$1:J$1,D10:J10)</f>
        <v>1360</v>
      </c>
      <c r="O10" s="5" t="s">
        <v>18</v>
      </c>
    </row>
    <row r="11" customFormat="false" ht="26.85" hidden="false" customHeight="false" outlineLevel="0" collapsed="false">
      <c r="C11" s="3" t="s">
        <v>24</v>
      </c>
      <c r="H11" s="0" t="n">
        <v>5</v>
      </c>
      <c r="I11" s="0" t="n">
        <v>3</v>
      </c>
      <c r="N11" s="4" t="n">
        <f aca="false">SUMPRODUCT(D$1:J$1,D11:J11)</f>
        <v>1400</v>
      </c>
      <c r="O11" s="5" t="s">
        <v>18</v>
      </c>
    </row>
    <row r="12" customFormat="false" ht="26.85" hidden="false" customHeight="false" outlineLevel="0" collapsed="false">
      <c r="C12" s="3" t="s">
        <v>25</v>
      </c>
      <c r="H12" s="0" t="n">
        <v>1</v>
      </c>
      <c r="I12" s="0" t="n">
        <v>6</v>
      </c>
      <c r="N12" s="4" t="n">
        <f aca="false">SUMPRODUCT(D$1:J$1,D12:J12)</f>
        <v>1090</v>
      </c>
      <c r="O12" s="5" t="s">
        <v>18</v>
      </c>
    </row>
    <row r="13" customFormat="false" ht="26.85" hidden="false" customHeight="false" outlineLevel="0" collapsed="false">
      <c r="C13" s="3" t="s">
        <v>26</v>
      </c>
      <c r="H13" s="0" t="n">
        <v>2</v>
      </c>
      <c r="I13" s="0" t="n">
        <v>5</v>
      </c>
      <c r="N13" s="4" t="n">
        <f aca="false">SUMPRODUCT(D$1:J$1,D13:J13)</f>
        <v>1130</v>
      </c>
      <c r="O13" s="5" t="s">
        <v>18</v>
      </c>
    </row>
    <row r="14" customFormat="false" ht="26.85" hidden="false" customHeight="false" outlineLevel="0" collapsed="false">
      <c r="C14" s="3" t="s">
        <v>27</v>
      </c>
      <c r="H14" s="0" t="n">
        <v>5</v>
      </c>
      <c r="I14" s="0" t="n">
        <v>3</v>
      </c>
      <c r="N14" s="4" t="n">
        <f aca="false">SUMPRODUCT(D$1:J$1,D14:J14)</f>
        <v>1400</v>
      </c>
      <c r="O14" s="5" t="s">
        <v>18</v>
      </c>
    </row>
    <row r="15" customFormat="false" ht="15" hidden="false" customHeight="false" outlineLevel="0" collapsed="false">
      <c r="C15" s="3" t="s">
        <v>28</v>
      </c>
      <c r="D15" s="0" t="n">
        <v>2</v>
      </c>
      <c r="F15" s="0" t="n">
        <v>3</v>
      </c>
      <c r="N15" s="4" t="n">
        <f aca="false">SUMPRODUCT(D$1:J$1,D15:J15)</f>
        <v>1450</v>
      </c>
      <c r="O15" s="5" t="s">
        <v>18</v>
      </c>
    </row>
    <row r="16" customFormat="false" ht="15" hidden="false" customHeight="false" outlineLevel="0" collapsed="false">
      <c r="C16" s="1" t="s">
        <v>29</v>
      </c>
      <c r="D16" s="1" t="n">
        <f aca="false">SUBTOTAL(9,D5:D15)</f>
        <v>2</v>
      </c>
      <c r="E16" s="1" t="n">
        <f aca="false">SUBTOTAL(9,E5:E15)</f>
        <v>0</v>
      </c>
      <c r="F16" s="1" t="n">
        <f aca="false">SUBTOTAL(9,F5:F15)</f>
        <v>10</v>
      </c>
      <c r="G16" s="1" t="n">
        <f aca="false">SUBTOTAL(9,G5:G15)</f>
        <v>0</v>
      </c>
      <c r="H16" s="1" t="n">
        <f aca="false">SUBTOTAL(9,H5:H15)</f>
        <v>40</v>
      </c>
      <c r="I16" s="1" t="n">
        <f aca="false">SUBTOTAL(9,I5:I15)</f>
        <v>29</v>
      </c>
      <c r="J16" s="1" t="n">
        <f aca="false">SUBTOTAL(9,J5:J15)</f>
        <v>0</v>
      </c>
      <c r="N16" s="6" t="n">
        <f aca="false">SUBTOTAL(9,N5:N15)</f>
        <v>15150</v>
      </c>
      <c r="P16" s="1" t="n">
        <f aca="false">SUM(D16:J16)</f>
        <v>81</v>
      </c>
      <c r="Q16" s="4" t="n">
        <f aca="false">IF(P16=0,"",N16/P16)</f>
        <v>187.037037037037</v>
      </c>
    </row>
    <row r="18" customFormat="false" ht="15" hidden="false" customHeight="false" outlineLevel="0" collapsed="false">
      <c r="C18" s="1" t="s">
        <v>30</v>
      </c>
    </row>
    <row r="19" customFormat="false" ht="15" hidden="false" customHeight="false" outlineLevel="0" collapsed="false">
      <c r="C19" s="3" t="s">
        <v>31</v>
      </c>
      <c r="D19" s="0" t="n">
        <v>2</v>
      </c>
      <c r="F19" s="0" t="n">
        <v>2</v>
      </c>
      <c r="H19" s="0" t="n">
        <v>2</v>
      </c>
      <c r="N19" s="4" t="n">
        <f aca="false">SUMPRODUCT(D$1:J$1,D19:J19)</f>
        <v>1580</v>
      </c>
      <c r="O19" s="5" t="s">
        <v>32</v>
      </c>
    </row>
    <row r="20" customFormat="false" ht="15" hidden="false" customHeight="false" outlineLevel="0" collapsed="false">
      <c r="C20" s="3" t="s">
        <v>33</v>
      </c>
      <c r="H20" s="0" t="n">
        <v>3</v>
      </c>
      <c r="I20" s="0" t="n">
        <v>2</v>
      </c>
      <c r="N20" s="4" t="n">
        <f aca="false">SUMPRODUCT(D$1:J$1,D20:J20)</f>
        <v>870</v>
      </c>
      <c r="O20" s="5" t="s">
        <v>32</v>
      </c>
    </row>
    <row r="21" customFormat="false" ht="15" hidden="false" customHeight="false" outlineLevel="0" collapsed="false">
      <c r="C21" s="1" t="s">
        <v>29</v>
      </c>
      <c r="D21" s="1" t="n">
        <f aca="false">SUBTOTAL(9,D19:D20)</f>
        <v>2</v>
      </c>
      <c r="E21" s="1" t="n">
        <f aca="false">SUBTOTAL(9,E19:E20)</f>
        <v>0</v>
      </c>
      <c r="F21" s="1" t="n">
        <f aca="false">SUBTOTAL(9,F19:F20)</f>
        <v>2</v>
      </c>
      <c r="G21" s="1" t="n">
        <f aca="false">SUBTOTAL(9,G19:G20)</f>
        <v>0</v>
      </c>
      <c r="H21" s="1" t="n">
        <f aca="false">SUBTOTAL(9,H19:H20)</f>
        <v>5</v>
      </c>
      <c r="I21" s="1" t="n">
        <f aca="false">SUBTOTAL(9,I19:I20)</f>
        <v>2</v>
      </c>
      <c r="J21" s="1" t="n">
        <f aca="false">SUBTOTAL(9,J19:J20)</f>
        <v>0</v>
      </c>
      <c r="N21" s="6" t="n">
        <f aca="false">SUBTOTAL(9,N19:N20)</f>
        <v>2450</v>
      </c>
      <c r="P21" s="1" t="n">
        <f aca="false">SUM(D21:J21)</f>
        <v>11</v>
      </c>
      <c r="Q21" s="4" t="n">
        <f aca="false">IF(P21=0,"",N21/P21)</f>
        <v>222.727272727273</v>
      </c>
    </row>
    <row r="23" customFormat="false" ht="15" hidden="false" customHeight="false" outlineLevel="0" collapsed="false">
      <c r="C23" s="1" t="s">
        <v>34</v>
      </c>
      <c r="D23" s="1" t="n">
        <f aca="false">SUBTOTAL(9,D4:D22)</f>
        <v>4</v>
      </c>
      <c r="E23" s="1" t="n">
        <f aca="false">SUBTOTAL(9,E4:E22)</f>
        <v>0</v>
      </c>
      <c r="F23" s="1" t="n">
        <f aca="false">SUBTOTAL(9,F4:F22)</f>
        <v>12</v>
      </c>
      <c r="G23" s="1" t="n">
        <f aca="false">SUBTOTAL(9,G4:G22)</f>
        <v>0</v>
      </c>
      <c r="H23" s="1" t="n">
        <f aca="false">SUBTOTAL(9,H4:H22)</f>
        <v>45</v>
      </c>
      <c r="I23" s="1" t="n">
        <f aca="false">SUBTOTAL(9,I4:I22)</f>
        <v>31</v>
      </c>
      <c r="J23" s="1" t="n">
        <f aca="false">SUBTOTAL(9,J4:J22)</f>
        <v>0</v>
      </c>
      <c r="N23" s="6" t="n">
        <f aca="false">SUBTOTAL(9,N4:N22)</f>
        <v>17600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55"/>
    <col collapsed="false" customWidth="true" hidden="false" outlineLevel="0" max="4" min="4" style="0" width="15"/>
    <col collapsed="false" customWidth="true" hidden="false" outlineLevel="0" max="5" min="5" style="0" width="50"/>
    <col collapsed="false" customWidth="true" hidden="false" outlineLevel="0" max="7" min="7" style="0" width="15"/>
  </cols>
  <sheetData>
    <row r="2" customFormat="false" ht="15" hidden="false" customHeight="false" outlineLevel="0" collapsed="false">
      <c r="B2" s="1" t="s">
        <v>35</v>
      </c>
      <c r="G2" s="1" t="s">
        <v>4</v>
      </c>
    </row>
    <row r="3" customFormat="false" ht="15" hidden="false" customHeight="false" outlineLevel="0" collapsed="false">
      <c r="B3" s="1" t="s">
        <v>36</v>
      </c>
      <c r="C3" s="1" t="s">
        <v>6</v>
      </c>
      <c r="D3" s="1" t="s">
        <v>37</v>
      </c>
      <c r="E3" s="1" t="s">
        <v>38</v>
      </c>
    </row>
    <row r="5" customFormat="false" ht="15" hidden="false" customHeight="false" outlineLevel="0" collapsed="false">
      <c r="B5" s="7" t="s">
        <v>39</v>
      </c>
      <c r="C5" s="7" t="s">
        <v>40</v>
      </c>
      <c r="D5" s="4" t="n">
        <f aca="false">SUMIF(BUILDUP!O:O,G5,BUILDUP!N:N)</f>
        <v>15150</v>
      </c>
      <c r="G5" s="5" t="s">
        <v>18</v>
      </c>
    </row>
    <row r="6" customFormat="false" ht="15" hidden="false" customHeight="false" outlineLevel="0" collapsed="false">
      <c r="C6" s="7" t="s">
        <v>41</v>
      </c>
      <c r="D6" s="4" t="n">
        <f aca="false">SUMIF(BUILDUP!O:O,G6,BUILDUP!N:N)</f>
        <v>2450</v>
      </c>
      <c r="G6" s="5" t="s">
        <v>32</v>
      </c>
    </row>
    <row r="7" customFormat="false" ht="15" hidden="false" customHeight="false" outlineLevel="0" collapsed="false">
      <c r="C7" s="1" t="s">
        <v>42</v>
      </c>
      <c r="D7" s="6" t="n">
        <f aca="false">SUBTOTAL(9,D5:D6)</f>
        <v>17600</v>
      </c>
    </row>
    <row r="9" customFormat="false" ht="15" hidden="false" customHeight="false" outlineLevel="0" collapsed="false">
      <c r="B9" s="7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2026-08-28T12:43:13Z</dcterms:created>
  <dc:creator>openpyxl</dc:creator>
  <dc:description/>
  <dc:language>en-US</dc:language>
  <cp:lastModifiedBy/>
  <dcterms:modified xsi:type="dcterms:W3CDTF">2026-08-28T12:43:13Z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